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Документы\"/>
    </mc:Choice>
  </mc:AlternateContent>
  <xr:revisionPtr revIDLastSave="0" documentId="13_ncr:1_{7984122C-897D-42AA-9F33-5F62BB099291}" xr6:coauthVersionLast="47" xr6:coauthVersionMax="47" xr10:uidLastSave="{00000000-0000-0000-0000-000000000000}"/>
  <bookViews>
    <workbookView minimized="1" xWindow="28065" yWindow="4395" windowWidth="21600" windowHeight="11295" xr2:uid="{38AECC65-C194-48EA-9647-5E160C05DFDF}"/>
  </bookViews>
  <sheets>
    <sheet name="Лист2" sheetId="2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  <c r="M5" i="2"/>
  <c r="G5" i="2"/>
  <c r="C68" i="2"/>
  <c r="C67" i="2"/>
  <c r="F5" i="2"/>
  <c r="E5" i="2"/>
  <c r="K5" i="2"/>
  <c r="L5" i="2"/>
  <c r="N5" i="2"/>
  <c r="J5" i="2"/>
  <c r="H5" i="2"/>
  <c r="D5" i="2"/>
  <c r="B4" i="2" l="1"/>
</calcChain>
</file>

<file path=xl/sharedStrings.xml><?xml version="1.0" encoding="utf-8"?>
<sst xmlns="http://schemas.openxmlformats.org/spreadsheetml/2006/main" count="124" uniqueCount="101">
  <si>
    <t>Код производителя</t>
  </si>
  <si>
    <t>I</t>
  </si>
  <si>
    <t>R</t>
  </si>
  <si>
    <t>H</t>
  </si>
  <si>
    <t>D</t>
  </si>
  <si>
    <t>VS - Сервер Vekus на платформе Supermicro</t>
  </si>
  <si>
    <t>VA - Сервер Vekus на платформе ASUS</t>
  </si>
  <si>
    <t>VG - Сервер Vekus на платформе Gigabyte</t>
  </si>
  <si>
    <t>VT – Сервер Vekus «Кварк» на базе TTY</t>
  </si>
  <si>
    <t>VC - Сервер Vekus «Кварк» на базе Chenbro</t>
  </si>
  <si>
    <t>Производитель процессоров</t>
  </si>
  <si>
    <t>Дисковая подсистема</t>
  </si>
  <si>
    <t>Максимальное количество дисков в шасси</t>
  </si>
  <si>
    <t>Поколение процессоров</t>
  </si>
  <si>
    <t>2/3/4/5/6</t>
  </si>
  <si>
    <t>S — SATA/SAS (3.5 или 2.5)</t>
  </si>
  <si>
    <t>N — NVMe (U.2)</t>
  </si>
  <si>
    <t>M — Смешанная (Hybrid)</t>
  </si>
  <si>
    <t>Категория S (Storage — Файловые хранилища и NAS)</t>
  </si>
  <si>
    <t>Категория C (Compute — Вычислительные серверы)</t>
  </si>
  <si>
    <t>Категория G (GPU — Серверы с графическими ускорителями)</t>
  </si>
  <si>
    <t>Категория E (Edge — Телеком и периферия)</t>
  </si>
  <si>
    <t>E</t>
  </si>
  <si>
    <t>С</t>
  </si>
  <si>
    <t>F</t>
  </si>
  <si>
    <t>G</t>
  </si>
  <si>
    <t>VS</t>
  </si>
  <si>
    <t>VA</t>
  </si>
  <si>
    <t>VG</t>
  </si>
  <si>
    <t>VT</t>
  </si>
  <si>
    <t>VC</t>
  </si>
  <si>
    <t>Шасси</t>
  </si>
  <si>
    <t>Блоки питания</t>
  </si>
  <si>
    <t>Тип дисков</t>
  </si>
  <si>
    <t>Категория</t>
  </si>
  <si>
    <t>Память</t>
  </si>
  <si>
    <t>4- Флагманский (Ultra) 1 ТБ+</t>
  </si>
  <si>
    <t>C(12)</t>
  </si>
  <si>
    <t>H(60)</t>
  </si>
  <si>
    <t>G(48)</t>
  </si>
  <si>
    <t>D(16)</t>
  </si>
  <si>
    <t>E(24)</t>
  </si>
  <si>
    <t>F(36)</t>
  </si>
  <si>
    <t>платформа</t>
  </si>
  <si>
    <t>процессор</t>
  </si>
  <si>
    <t>поколение</t>
  </si>
  <si>
    <t>шасси</t>
  </si>
  <si>
    <t>диски</t>
  </si>
  <si>
    <t>q дисков</t>
  </si>
  <si>
    <t>категория</t>
  </si>
  <si>
    <t>память</t>
  </si>
  <si>
    <t>БП</t>
  </si>
  <si>
    <t>Месяц</t>
  </si>
  <si>
    <t>День</t>
  </si>
  <si>
    <t>C.</t>
  </si>
  <si>
    <t>S.</t>
  </si>
  <si>
    <t>G.</t>
  </si>
  <si>
    <t>E.</t>
  </si>
  <si>
    <t>T</t>
  </si>
  <si>
    <t>Высота шасcи U</t>
  </si>
  <si>
    <t>1U</t>
  </si>
  <si>
    <t>2U</t>
  </si>
  <si>
    <t>3U</t>
  </si>
  <si>
    <t>4U</t>
  </si>
  <si>
    <t>8U</t>
  </si>
  <si>
    <t>5U</t>
  </si>
  <si>
    <t>F - один фиксированный</t>
  </si>
  <si>
    <t>Число сокетов</t>
  </si>
  <si>
    <t>1 сокет</t>
  </si>
  <si>
    <t>4 сокета</t>
  </si>
  <si>
    <t>2 сокета</t>
  </si>
  <si>
    <t>высота шасcи U</t>
  </si>
  <si>
    <t>число сокетов</t>
  </si>
  <si>
    <t>1U.</t>
  </si>
  <si>
    <t>2U.</t>
  </si>
  <si>
    <t>3U.</t>
  </si>
  <si>
    <t>4U.</t>
  </si>
  <si>
    <t>5U.</t>
  </si>
  <si>
    <t>8U.</t>
  </si>
  <si>
    <t>1.</t>
  </si>
  <si>
    <t>2.</t>
  </si>
  <si>
    <t>3.</t>
  </si>
  <si>
    <t>4.</t>
  </si>
  <si>
    <t>5.</t>
  </si>
  <si>
    <t>6.</t>
  </si>
  <si>
    <t>N.</t>
  </si>
  <si>
    <t>M.</t>
  </si>
  <si>
    <t>1- Начальный (Entry) До 50 ГБ</t>
  </si>
  <si>
    <t>2- Средний (Mid-range) 50 - 200 ГБ</t>
  </si>
  <si>
    <t>3- Высокий (High-end) 200 ГБ - 1 ТБ</t>
  </si>
  <si>
    <t>R - рэк для установки в шкаф 19''</t>
  </si>
  <si>
    <t>T - вертикальный</t>
  </si>
  <si>
    <t>E - AMD</t>
  </si>
  <si>
    <t>I - Intel</t>
  </si>
  <si>
    <t>H - два с горячей заменой</t>
  </si>
  <si>
    <t>.</t>
  </si>
  <si>
    <t>Пустой для вертикального исполнения</t>
  </si>
  <si>
    <t>D2</t>
  </si>
  <si>
    <t>D4</t>
  </si>
  <si>
    <t xml:space="preserve">D- 2 БП с резервированием  </t>
  </si>
  <si>
    <t xml:space="preserve">D- 4 БП с резервированием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</si>
</sst>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7">
    <font>
      <sz val="11"/>
      <color theme="1"/>
      <name val="Calibri"/>
      <family val="2"/>
      <charset val="204"/>
      <scheme val="minor"/>
    </font>
    <font>
      <b/>
      <sz val="8"/>
      <color theme="1"/>
      <name val="Mulish"/>
    </font>
    <font>
      <b/>
      <sz val="8"/>
      <color rgb="FF000000"/>
      <name val="Mulish"/>
    </font>
    <font>
      <sz val="8"/>
      <color rgb="FF000000"/>
      <name val="Mulish"/>
    </font>
    <font>
      <sz val="8"/>
      <color theme="1"/>
      <name val="Mulish"/>
    </font>
    <font>
      <b/>
      <sz val="18"/>
      <color theme="1"/>
      <name val="Calibri"/>
      <family val="2"/>
      <charset val="204"/>
      <scheme val="minor"/>
    </font>
    <font>
      <b/>
      <sz val="12"/>
      <color rgb="FF000000"/>
      <name val="Mulish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textRotation="90" wrapText="1"/>
    </xf>
    <xf numFmtId="0" fontId="5" fillId="0" borderId="12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164" fontId="0" fillId="0" borderId="0" xfId="0" applyNumberFormat="1"/>
    <xf numFmtId="0" fontId="3" fillId="3" borderId="0" xfId="0" applyFont="1" applyFill="1" applyBorder="1" applyAlignment="1">
      <alignment vertical="center" wrapText="1"/>
    </xf>
    <xf numFmtId="0" fontId="0" fillId="0" borderId="13" xfId="0" applyBorder="1" applyAlignment="1">
      <alignment horizontal="center"/>
    </xf>
    <xf numFmtId="0" fontId="3" fillId="3" borderId="14" xfId="0" applyFont="1" applyFill="1" applyBorder="1" applyAlignment="1">
      <alignment horizontal="center" textRotation="90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B1DC-EB93-497A-B315-6E8729A4B65D}">
  <sheetPr>
    <pageSetUpPr fitToPage="1"/>
  </sheetPr>
  <dimension ref="A1:Q68"/>
  <sheetViews>
    <sheetView tabSelected="1" topLeftCell="A10" workbookViewId="0">
      <selection activeCell="R38" sqref="R38"/>
    </sheetView>
  </sheetViews>
  <sheetFormatPr defaultRowHeight="8.25" customHeight="1"/>
  <cols>
    <col min="1" max="1" width="3.140625" style="18" customWidth="1"/>
    <col min="2" max="2" width="47.5703125" customWidth="1"/>
    <col min="3" max="3" width="7.5703125" style="9" bestFit="1" customWidth="1"/>
    <col min="4" max="4" width="3.28515625" bestFit="1" customWidth="1"/>
    <col min="5" max="6" width="2.5703125" customWidth="1"/>
    <col min="7" max="7" width="3.28515625" customWidth="1"/>
    <col min="8" max="14" width="2.5703125" customWidth="1"/>
  </cols>
  <sheetData>
    <row r="1" spans="1:17" ht="8.25" hidden="1" customHeight="1" thickBot="1">
      <c r="A1" s="17"/>
    </row>
    <row r="2" spans="1:17" ht="8.25" hidden="1" customHeight="1" thickBot="1">
      <c r="A2" s="17"/>
    </row>
    <row r="3" spans="1:17" ht="8.25" hidden="1" customHeight="1" thickBot="1">
      <c r="A3" s="17"/>
    </row>
    <row r="4" spans="1:17" ht="69" customHeight="1" thickBot="1">
      <c r="B4" s="20" t="str">
        <f ca="1">D5&amp;E5&amp;F5&amp;G5&amp;H5&amp;I5&amp;J5&amp;K5&amp;L5&amp;M5&amp;N5&amp;"/"&amp;C67&amp;C68</f>
        <v>VCC.R2U.I22.СS.1.H/318</v>
      </c>
      <c r="C4" s="24"/>
      <c r="D4" s="25" t="s">
        <v>43</v>
      </c>
      <c r="E4" s="25" t="s">
        <v>49</v>
      </c>
      <c r="F4" s="25" t="s">
        <v>46</v>
      </c>
      <c r="G4" s="25" t="s">
        <v>71</v>
      </c>
      <c r="H4" s="25" t="s">
        <v>44</v>
      </c>
      <c r="I4" s="25" t="s">
        <v>72</v>
      </c>
      <c r="J4" s="25" t="s">
        <v>45</v>
      </c>
      <c r="K4" s="25" t="s">
        <v>48</v>
      </c>
      <c r="L4" s="25" t="s">
        <v>47</v>
      </c>
      <c r="M4" s="25" t="s">
        <v>50</v>
      </c>
      <c r="N4" s="19" t="s">
        <v>51</v>
      </c>
      <c r="O4" s="22"/>
    </row>
    <row r="5" spans="1:17" ht="8.25" customHeight="1">
      <c r="A5" s="17"/>
      <c r="B5" s="1"/>
      <c r="C5" s="6"/>
      <c r="D5" s="28" t="str">
        <f>C6</f>
        <v>VC</v>
      </c>
      <c r="E5" s="28" t="str">
        <f>C12</f>
        <v>C.</v>
      </c>
      <c r="F5" s="28" t="str">
        <f>C17</f>
        <v>R</v>
      </c>
      <c r="G5" s="28" t="str">
        <f>C20</f>
        <v>2U.</v>
      </c>
      <c r="H5" s="28" t="str">
        <f>C28</f>
        <v>I</v>
      </c>
      <c r="I5" s="28">
        <f>C31</f>
        <v>2</v>
      </c>
      <c r="J5" s="28" t="str">
        <f>C35</f>
        <v>2.</v>
      </c>
      <c r="K5" s="28" t="str">
        <f>C42</f>
        <v>С</v>
      </c>
      <c r="L5" s="28" t="str">
        <f>C52</f>
        <v>S.</v>
      </c>
      <c r="M5" s="28" t="str">
        <f>C56</f>
        <v>1.</v>
      </c>
      <c r="N5" s="26" t="str">
        <f>C61</f>
        <v>H</v>
      </c>
    </row>
    <row r="6" spans="1:17" ht="15.75">
      <c r="A6" s="17"/>
      <c r="B6" s="2" t="s">
        <v>0</v>
      </c>
      <c r="C6" s="21" t="s">
        <v>30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7"/>
    </row>
    <row r="7" spans="1:17" ht="8.25" customHeight="1">
      <c r="A7" s="17" t="s">
        <v>26</v>
      </c>
      <c r="B7" s="3" t="s">
        <v>5</v>
      </c>
      <c r="C7" s="7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1:17" ht="8.25" customHeight="1">
      <c r="A8" s="17" t="s">
        <v>27</v>
      </c>
      <c r="B8" s="3" t="s">
        <v>6</v>
      </c>
      <c r="C8" s="7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spans="1:17" ht="8.25" customHeight="1">
      <c r="A9" s="17" t="s">
        <v>28</v>
      </c>
      <c r="B9" s="3" t="s">
        <v>7</v>
      </c>
      <c r="C9" s="7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  <c r="Q9" s="16"/>
    </row>
    <row r="10" spans="1:17" ht="8.25" customHeight="1">
      <c r="A10" s="17" t="s">
        <v>29</v>
      </c>
      <c r="B10" s="3" t="s">
        <v>8</v>
      </c>
      <c r="C10" s="7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3"/>
    </row>
    <row r="11" spans="1:17" ht="8.25" customHeight="1">
      <c r="A11" s="17" t="s">
        <v>30</v>
      </c>
      <c r="B11" s="3" t="s">
        <v>9</v>
      </c>
      <c r="C11" s="7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</row>
    <row r="12" spans="1:17" ht="15.75">
      <c r="A12" s="17"/>
      <c r="B12" s="2" t="s">
        <v>34</v>
      </c>
      <c r="C12" s="21" t="s">
        <v>54</v>
      </c>
      <c r="D12" s="10"/>
      <c r="E12" s="10"/>
      <c r="F12" s="12"/>
      <c r="G12" s="12"/>
      <c r="H12" s="10"/>
      <c r="I12" s="12"/>
      <c r="J12" s="12"/>
      <c r="K12" s="10"/>
      <c r="L12" s="10"/>
      <c r="M12" s="10"/>
      <c r="N12" s="11"/>
    </row>
    <row r="13" spans="1:17" ht="8.25" customHeight="1">
      <c r="A13" s="17" t="s">
        <v>54</v>
      </c>
      <c r="B13" s="3" t="s">
        <v>19</v>
      </c>
      <c r="C13" s="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</row>
    <row r="14" spans="1:17" ht="8.25" customHeight="1">
      <c r="A14" s="17" t="s">
        <v>55</v>
      </c>
      <c r="B14" s="3" t="s">
        <v>18</v>
      </c>
      <c r="C14" s="7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</row>
    <row r="15" spans="1:17" ht="8.25" customHeight="1">
      <c r="A15" s="17" t="s">
        <v>56</v>
      </c>
      <c r="B15" s="3" t="s">
        <v>20</v>
      </c>
      <c r="C15" s="7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7" ht="8.25" customHeight="1">
      <c r="A16" s="17" t="s">
        <v>57</v>
      </c>
      <c r="B16" s="3" t="s">
        <v>21</v>
      </c>
      <c r="C16" s="7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</row>
    <row r="17" spans="1:14" ht="15.75">
      <c r="A17" s="17"/>
      <c r="B17" s="2" t="s">
        <v>31</v>
      </c>
      <c r="C17" s="21" t="s">
        <v>2</v>
      </c>
      <c r="D17" s="10"/>
      <c r="E17" s="10"/>
      <c r="F17" s="12"/>
      <c r="G17" s="12"/>
      <c r="H17" s="10"/>
      <c r="I17" s="12"/>
      <c r="J17" s="12"/>
      <c r="K17" s="10"/>
      <c r="L17" s="10"/>
      <c r="M17" s="10"/>
      <c r="N17" s="11"/>
    </row>
    <row r="18" spans="1:14" ht="8.25" customHeight="1">
      <c r="A18" s="17" t="s">
        <v>2</v>
      </c>
      <c r="B18" s="3" t="s">
        <v>90</v>
      </c>
      <c r="C18" s="7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 ht="8.25" customHeight="1">
      <c r="A19" s="17" t="s">
        <v>58</v>
      </c>
      <c r="B19" s="3" t="s">
        <v>91</v>
      </c>
      <c r="C19" s="7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</row>
    <row r="20" spans="1:14" ht="15.75">
      <c r="A20" s="17"/>
      <c r="B20" s="2" t="s">
        <v>59</v>
      </c>
      <c r="C20" s="21" t="s">
        <v>74</v>
      </c>
      <c r="D20" s="10"/>
      <c r="E20" s="10"/>
      <c r="F20" s="12"/>
      <c r="G20" s="12"/>
      <c r="H20" s="10"/>
      <c r="I20" s="12"/>
      <c r="J20" s="12"/>
      <c r="K20" s="10"/>
      <c r="L20" s="10"/>
      <c r="M20" s="10"/>
      <c r="N20" s="11"/>
    </row>
    <row r="21" spans="1:14" ht="8.25" customHeight="1">
      <c r="A21" s="3" t="s">
        <v>95</v>
      </c>
      <c r="B21" s="3" t="s">
        <v>96</v>
      </c>
      <c r="C21" s="7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</row>
    <row r="22" spans="1:14" ht="8.25" customHeight="1">
      <c r="A22" s="3" t="s">
        <v>73</v>
      </c>
      <c r="B22" s="3" t="s">
        <v>60</v>
      </c>
      <c r="C22" s="7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spans="1:14" ht="8.25" customHeight="1">
      <c r="A23" s="3" t="s">
        <v>74</v>
      </c>
      <c r="B23" s="3" t="s">
        <v>61</v>
      </c>
      <c r="C23" s="7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 ht="8.25" customHeight="1">
      <c r="A24" s="3" t="s">
        <v>75</v>
      </c>
      <c r="B24" s="3" t="s">
        <v>62</v>
      </c>
      <c r="C24" s="7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</row>
    <row r="25" spans="1:14" ht="8.25" customHeight="1">
      <c r="A25" s="3" t="s">
        <v>76</v>
      </c>
      <c r="B25" s="3" t="s">
        <v>63</v>
      </c>
      <c r="C25" s="7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1"/>
    </row>
    <row r="26" spans="1:14" ht="8.25" customHeight="1">
      <c r="A26" s="3" t="s">
        <v>77</v>
      </c>
      <c r="B26" s="3" t="s">
        <v>65</v>
      </c>
      <c r="C26" s="7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/>
    </row>
    <row r="27" spans="1:14" ht="8.25" customHeight="1">
      <c r="A27" s="3" t="s">
        <v>78</v>
      </c>
      <c r="B27" s="3" t="s">
        <v>64</v>
      </c>
      <c r="C27" s="7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</row>
    <row r="28" spans="1:14" ht="15.75">
      <c r="A28" s="17"/>
      <c r="B28" s="4" t="s">
        <v>10</v>
      </c>
      <c r="C28" s="21" t="s">
        <v>1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/>
    </row>
    <row r="29" spans="1:14" ht="8.25" customHeight="1">
      <c r="A29" s="17" t="s">
        <v>1</v>
      </c>
      <c r="B29" s="3" t="s">
        <v>93</v>
      </c>
      <c r="C29" s="7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1:14" ht="8.25" customHeight="1">
      <c r="A30" s="17" t="s">
        <v>22</v>
      </c>
      <c r="B30" s="3" t="s">
        <v>92</v>
      </c>
      <c r="C30" s="7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3"/>
    </row>
    <row r="31" spans="1:14" ht="15.75">
      <c r="A31" s="17"/>
      <c r="B31" s="2" t="s">
        <v>67</v>
      </c>
      <c r="C31" s="21">
        <v>2</v>
      </c>
      <c r="D31" s="10"/>
      <c r="E31" s="10"/>
      <c r="F31" s="12"/>
      <c r="G31" s="12"/>
      <c r="H31" s="10"/>
      <c r="I31" s="12"/>
      <c r="J31" s="12"/>
      <c r="K31" s="10"/>
      <c r="L31" s="10"/>
      <c r="M31" s="10"/>
      <c r="N31" s="11"/>
    </row>
    <row r="32" spans="1:14" ht="8.25" customHeight="1">
      <c r="A32" s="17">
        <v>1</v>
      </c>
      <c r="B32" s="3" t="s">
        <v>68</v>
      </c>
      <c r="C32" s="7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</row>
    <row r="33" spans="1:14" ht="8.25" customHeight="1">
      <c r="A33" s="17">
        <v>2</v>
      </c>
      <c r="B33" s="3" t="s">
        <v>70</v>
      </c>
      <c r="C33" s="7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</row>
    <row r="34" spans="1:14" ht="8.25" customHeight="1">
      <c r="A34" s="17">
        <v>4</v>
      </c>
      <c r="B34" s="3" t="s">
        <v>69</v>
      </c>
      <c r="C34" s="7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</row>
    <row r="35" spans="1:14" ht="15.75">
      <c r="A35" s="17"/>
      <c r="B35" s="4" t="s">
        <v>13</v>
      </c>
      <c r="C35" s="21" t="s">
        <v>80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/>
    </row>
    <row r="36" spans="1:14" ht="8.25" customHeight="1">
      <c r="A36" s="17" t="s">
        <v>79</v>
      </c>
      <c r="B36" s="3" t="s">
        <v>14</v>
      </c>
      <c r="C36" s="7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3"/>
    </row>
    <row r="37" spans="1:14" ht="8.25" customHeight="1">
      <c r="A37" s="17" t="s">
        <v>80</v>
      </c>
      <c r="B37" s="3" t="s">
        <v>14</v>
      </c>
      <c r="C37" s="7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3"/>
    </row>
    <row r="38" spans="1:14" ht="8.25" customHeight="1">
      <c r="A38" s="17" t="s">
        <v>81</v>
      </c>
      <c r="B38" s="3" t="s">
        <v>14</v>
      </c>
      <c r="C38" s="7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3"/>
    </row>
    <row r="39" spans="1:14" ht="8.25" customHeight="1">
      <c r="A39" s="17" t="s">
        <v>82</v>
      </c>
      <c r="B39" s="3" t="s">
        <v>14</v>
      </c>
      <c r="C39" s="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3"/>
    </row>
    <row r="40" spans="1:14" ht="8.25" customHeight="1">
      <c r="A40" s="17" t="s">
        <v>83</v>
      </c>
      <c r="B40" s="3" t="s">
        <v>14</v>
      </c>
      <c r="C40" s="7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3"/>
    </row>
    <row r="41" spans="1:14" ht="8.25" customHeight="1">
      <c r="A41" s="17" t="s">
        <v>84</v>
      </c>
      <c r="B41" s="3" t="s">
        <v>14</v>
      </c>
      <c r="C41" s="7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3"/>
    </row>
    <row r="42" spans="1:14" ht="15.75">
      <c r="A42" s="17"/>
      <c r="B42" s="2" t="s">
        <v>11</v>
      </c>
      <c r="C42" s="21" t="s">
        <v>23</v>
      </c>
      <c r="D42" s="10"/>
      <c r="E42" s="10"/>
      <c r="F42" s="12"/>
      <c r="G42" s="12"/>
      <c r="H42" s="10"/>
      <c r="I42" s="12"/>
      <c r="J42" s="12"/>
      <c r="K42" s="10"/>
      <c r="L42" s="10"/>
      <c r="M42" s="10"/>
      <c r="N42" s="11"/>
    </row>
    <row r="43" spans="1:14" ht="8.25" customHeight="1">
      <c r="A43" s="17"/>
      <c r="B43" s="3" t="s">
        <v>12</v>
      </c>
      <c r="C43" s="7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</row>
    <row r="44" spans="1:14" ht="8.25" customHeight="1">
      <c r="A44" s="17">
        <v>4</v>
      </c>
      <c r="B44" s="3"/>
      <c r="C44" s="7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/>
    </row>
    <row r="45" spans="1:14" ht="8.25" customHeight="1">
      <c r="A45" s="17">
        <v>8</v>
      </c>
      <c r="B45" s="3"/>
      <c r="C45" s="7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1"/>
    </row>
    <row r="46" spans="1:14" ht="8.25" customHeight="1">
      <c r="A46" s="17" t="s">
        <v>23</v>
      </c>
      <c r="B46" s="3" t="s">
        <v>37</v>
      </c>
      <c r="C46" s="7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 ht="8.25" customHeight="1">
      <c r="A47" s="17" t="s">
        <v>4</v>
      </c>
      <c r="B47" s="3" t="s">
        <v>40</v>
      </c>
      <c r="C47" s="7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1"/>
    </row>
    <row r="48" spans="1:14" ht="8.25" customHeight="1">
      <c r="A48" s="17" t="s">
        <v>22</v>
      </c>
      <c r="B48" s="3" t="s">
        <v>41</v>
      </c>
      <c r="C48" s="7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</row>
    <row r="49" spans="1:14" ht="8.25" customHeight="1">
      <c r="A49" s="17" t="s">
        <v>24</v>
      </c>
      <c r="B49" s="3" t="s">
        <v>42</v>
      </c>
      <c r="C49" s="7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</row>
    <row r="50" spans="1:14" ht="8.25" customHeight="1">
      <c r="A50" s="17" t="s">
        <v>25</v>
      </c>
      <c r="B50" s="3" t="s">
        <v>39</v>
      </c>
      <c r="C50" s="7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/>
    </row>
    <row r="51" spans="1:14" ht="8.25" customHeight="1">
      <c r="A51" s="17" t="s">
        <v>3</v>
      </c>
      <c r="B51" s="3" t="s">
        <v>38</v>
      </c>
      <c r="C51" s="7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</row>
    <row r="52" spans="1:14" ht="15.75">
      <c r="A52" s="17"/>
      <c r="B52" s="2" t="s">
        <v>33</v>
      </c>
      <c r="C52" s="21" t="s">
        <v>55</v>
      </c>
      <c r="D52" s="10"/>
      <c r="E52" s="10"/>
      <c r="F52" s="12"/>
      <c r="G52" s="12"/>
      <c r="H52" s="10"/>
      <c r="I52" s="12"/>
      <c r="J52" s="12"/>
      <c r="K52" s="10"/>
      <c r="L52" s="10"/>
      <c r="M52" s="10"/>
      <c r="N52" s="11"/>
    </row>
    <row r="53" spans="1:14" ht="8.25" customHeight="1">
      <c r="A53" s="17" t="s">
        <v>55</v>
      </c>
      <c r="B53" s="3" t="s">
        <v>15</v>
      </c>
      <c r="C53" s="7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</row>
    <row r="54" spans="1:14" ht="8.25" customHeight="1">
      <c r="A54" s="17" t="s">
        <v>85</v>
      </c>
      <c r="B54" s="3" t="s">
        <v>16</v>
      </c>
      <c r="C54" s="7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/>
    </row>
    <row r="55" spans="1:14" ht="8.25" customHeight="1">
      <c r="A55" s="17" t="s">
        <v>86</v>
      </c>
      <c r="B55" s="3" t="s">
        <v>17</v>
      </c>
      <c r="C55" s="7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</row>
    <row r="56" spans="1:14" ht="15.75">
      <c r="A56" s="17"/>
      <c r="B56" s="4" t="s">
        <v>35</v>
      </c>
      <c r="C56" s="21" t="s">
        <v>79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3"/>
    </row>
    <row r="57" spans="1:14" ht="8.25" customHeight="1">
      <c r="A57" s="17" t="s">
        <v>79</v>
      </c>
      <c r="B57" s="3" t="s">
        <v>87</v>
      </c>
      <c r="C57" s="7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1"/>
    </row>
    <row r="58" spans="1:14" ht="8.25" customHeight="1">
      <c r="A58" s="17" t="s">
        <v>80</v>
      </c>
      <c r="B58" s="3" t="s">
        <v>88</v>
      </c>
      <c r="C58" s="7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</row>
    <row r="59" spans="1:14" ht="8.25" customHeight="1">
      <c r="A59" s="17" t="s">
        <v>81</v>
      </c>
      <c r="B59" s="3" t="s">
        <v>89</v>
      </c>
      <c r="C59" s="7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1"/>
    </row>
    <row r="60" spans="1:14" ht="8.25" customHeight="1">
      <c r="A60" s="17" t="s">
        <v>82</v>
      </c>
      <c r="B60" s="3" t="s">
        <v>36</v>
      </c>
      <c r="C60" s="7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1"/>
    </row>
    <row r="61" spans="1:14" ht="15.75">
      <c r="A61" s="17"/>
      <c r="B61" s="2" t="s">
        <v>32</v>
      </c>
      <c r="C61" s="21" t="s">
        <v>3</v>
      </c>
      <c r="D61" s="10"/>
      <c r="E61" s="10"/>
      <c r="F61" s="12"/>
      <c r="G61" s="12"/>
      <c r="H61" s="10"/>
      <c r="I61" s="12"/>
      <c r="J61" s="12"/>
      <c r="K61" s="10"/>
      <c r="L61" s="10"/>
      <c r="M61" s="10"/>
      <c r="N61" s="11"/>
    </row>
    <row r="62" spans="1:14" ht="8.25" customHeight="1">
      <c r="A62" s="17" t="s">
        <v>24</v>
      </c>
      <c r="B62" s="3" t="s">
        <v>66</v>
      </c>
      <c r="C62" s="7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1"/>
    </row>
    <row r="63" spans="1:14" ht="8.25" customHeight="1">
      <c r="A63" s="17" t="s">
        <v>3</v>
      </c>
      <c r="B63" s="3" t="s">
        <v>94</v>
      </c>
      <c r="C63" s="7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</row>
    <row r="64" spans="1:14" ht="8.25" customHeight="1">
      <c r="A64" s="17" t="s">
        <v>97</v>
      </c>
      <c r="B64" s="3" t="s">
        <v>99</v>
      </c>
      <c r="C64" s="7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/>
    </row>
    <row r="65" spans="1:14" ht="8.25" customHeight="1" thickBot="1">
      <c r="A65" s="17" t="s">
        <v>98</v>
      </c>
      <c r="B65" s="5" t="s">
        <v>100</v>
      </c>
      <c r="C65" s="8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5"/>
    </row>
    <row r="67" spans="1:14" ht="15" customHeight="1">
      <c r="B67" s="23" t="s">
        <v>52</v>
      </c>
      <c r="C67" s="23">
        <f ca="1">MONTH(TODAY())</f>
        <v>3</v>
      </c>
    </row>
    <row r="68" spans="1:14" ht="8.25" customHeight="1">
      <c r="B68" s="23" t="s">
        <v>53</v>
      </c>
      <c r="C68" s="23">
        <f ca="1">DAY(TODAY())</f>
        <v>18</v>
      </c>
    </row>
  </sheetData>
  <mergeCells count="11">
    <mergeCell ref="E5:E6"/>
    <mergeCell ref="D5:D6"/>
    <mergeCell ref="H5:H6"/>
    <mergeCell ref="J5:J6"/>
    <mergeCell ref="F5:F6"/>
    <mergeCell ref="N5:N6"/>
    <mergeCell ref="L5:L6"/>
    <mergeCell ref="G5:G6"/>
    <mergeCell ref="M5:M6"/>
    <mergeCell ref="I5:I6"/>
    <mergeCell ref="K5:K6"/>
  </mergeCells>
  <dataValidations count="12">
    <dataValidation type="list" allowBlank="1" showInputMessage="1" showErrorMessage="1" sqref="C28" xr:uid="{0395E748-E0AC-4141-A5BF-659121B051FC}">
      <formula1>$A$29:$A$30</formula1>
    </dataValidation>
    <dataValidation type="list" allowBlank="1" showInputMessage="1" showErrorMessage="1" sqref="C17" xr:uid="{B23BE8EF-5977-4D86-B76B-1E5B3748214C}">
      <formula1>$A$18:$A$19</formula1>
    </dataValidation>
    <dataValidation type="list" allowBlank="1" showInputMessage="1" showErrorMessage="1" sqref="C61" xr:uid="{5DDF4468-0DEB-4E7A-A3A7-BBC166CC9F7D}">
      <formula1>$A$62:$A$65</formula1>
    </dataValidation>
    <dataValidation type="list" allowBlank="1" showInputMessage="1" showErrorMessage="1" sqref="C52" xr:uid="{62AF8AD1-17A9-403E-9FE3-CEB1418D5997}">
      <formula1>$A$53:$A$55</formula1>
    </dataValidation>
    <dataValidation type="list" allowBlank="1" showInputMessage="1" showErrorMessage="1" sqref="C12" xr:uid="{EEEE6E3B-E41A-4305-B2A5-059F377B9037}">
      <formula1>$A$13:$A$16</formula1>
    </dataValidation>
    <dataValidation type="list" allowBlank="1" showInputMessage="1" showErrorMessage="1" sqref="C56" xr:uid="{2602EA44-947E-468F-AE6B-855F47E4B63E}">
      <formula1>$A$57:$A$60</formula1>
    </dataValidation>
    <dataValidation type="list" allowBlank="1" showInputMessage="1" showErrorMessage="1" sqref="C35" xr:uid="{48BE78F3-7896-4D11-A27D-99F43954CC8E}">
      <formula1>$A$36:$A$41</formula1>
    </dataValidation>
    <dataValidation type="list" allowBlank="1" showInputMessage="1" showErrorMessage="1" sqref="C36:C39" xr:uid="{E727DE95-2B1C-4FC8-B88A-45E8B4895D95}">
      <formula1>#REF!</formula1>
    </dataValidation>
    <dataValidation type="list" allowBlank="1" showInputMessage="1" showErrorMessage="1" sqref="C6" xr:uid="{323921B7-26C3-495E-9F87-1FD1ED840A20}">
      <formula1>$A$7:$A$11</formula1>
    </dataValidation>
    <dataValidation type="list" allowBlank="1" showInputMessage="1" showErrorMessage="1" sqref="C20" xr:uid="{DA07EAF0-E5C9-494A-ABCE-833E9446A50C}">
      <formula1>$A$21:$A$27</formula1>
    </dataValidation>
    <dataValidation type="list" allowBlank="1" showInputMessage="1" showErrorMessage="1" sqref="C31" xr:uid="{9835E6B2-4F27-4833-9961-F45AB38F717E}">
      <formula1>$A$32:$A$34</formula1>
    </dataValidation>
    <dataValidation type="list" allowBlank="1" showInputMessage="1" showErrorMessage="1" sqref="C42" xr:uid="{5AFA7C48-B61F-4F42-BCDD-8B8CCF0F4891}">
      <formula1>$A$45:$A$51</formula1>
    </dataValidation>
  </dataValidations>
  <pageMargins left="0.70866141732283472" right="0.70866141732283472" top="0.74803149606299213" bottom="0.74803149606299213" header="0.31496062992125984" footer="0.31496062992125984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Вронский</dc:creator>
  <cp:lastModifiedBy>Иван Ромаков</cp:lastModifiedBy>
  <cp:lastPrinted>2026-03-10T14:16:17Z</cp:lastPrinted>
  <dcterms:created xsi:type="dcterms:W3CDTF">2025-12-23T10:05:48Z</dcterms:created>
  <dcterms:modified xsi:type="dcterms:W3CDTF">2026-03-18T15:59:54Z</dcterms:modified>
</cp:coreProperties>
</file>